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counting\Desktop\"/>
    </mc:Choice>
  </mc:AlternateContent>
  <bookViews>
    <workbookView xWindow="0" yWindow="0" windowWidth="28800" windowHeight="12135"/>
  </bookViews>
  <sheets>
    <sheet name=" PER TONS" sheetId="2" r:id="rId1"/>
    <sheet name="2026" sheetId="1" r:id="rId2"/>
  </sheets>
  <definedNames>
    <definedName name="_xlnm.Print_Area" localSheetId="0">' PER TONS'!$A$1:$H$12</definedName>
    <definedName name="_xlnm.Print_Area" localSheetId="1">'2026'!$A$1:$H$48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2" l="1"/>
  <c r="N11" i="2"/>
  <c r="M11" i="2"/>
  <c r="L11" i="2"/>
  <c r="K11" i="2"/>
  <c r="J11" i="2"/>
  <c r="I11" i="2"/>
  <c r="H11" i="2"/>
  <c r="G11" i="2"/>
  <c r="F11" i="2"/>
  <c r="E11" i="2"/>
  <c r="D11" i="2"/>
  <c r="B10" i="2"/>
  <c r="B9" i="2"/>
  <c r="B8" i="2"/>
  <c r="B7" i="2"/>
  <c r="B6" i="2"/>
  <c r="B5" i="2"/>
  <c r="C5" i="2" s="1"/>
  <c r="B4" i="2"/>
  <c r="C4" i="2" s="1"/>
  <c r="B3" i="2"/>
  <c r="B2" i="2"/>
  <c r="C2" i="2" s="1"/>
  <c r="B11" i="2" l="1"/>
  <c r="C3" i="2"/>
  <c r="C11" i="2" s="1"/>
  <c r="O48" i="1"/>
  <c r="N48" i="1"/>
  <c r="M48" i="1"/>
  <c r="L48" i="1"/>
  <c r="K48" i="1"/>
  <c r="J48" i="1"/>
  <c r="I48" i="1"/>
  <c r="H48" i="1"/>
  <c r="G48" i="1"/>
  <c r="F48" i="1"/>
  <c r="E48" i="1"/>
  <c r="D48" i="1"/>
  <c r="B47" i="1"/>
  <c r="B46" i="1"/>
  <c r="O43" i="1"/>
  <c r="N43" i="1"/>
  <c r="M43" i="1"/>
  <c r="L43" i="1"/>
  <c r="K43" i="1"/>
  <c r="J43" i="1"/>
  <c r="I43" i="1"/>
  <c r="H43" i="1"/>
  <c r="G43" i="1"/>
  <c r="F43" i="1"/>
  <c r="B43" i="1" s="1"/>
  <c r="E43" i="1"/>
  <c r="D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O25" i="1"/>
  <c r="N25" i="1"/>
  <c r="M25" i="1"/>
  <c r="L25" i="1"/>
  <c r="K25" i="1"/>
  <c r="J25" i="1"/>
  <c r="I25" i="1"/>
  <c r="H25" i="1"/>
  <c r="G25" i="1"/>
  <c r="F25" i="1"/>
  <c r="E25" i="1"/>
  <c r="D25" i="1"/>
  <c r="B24" i="1"/>
  <c r="B23" i="1"/>
  <c r="B22" i="1"/>
  <c r="B21" i="1"/>
  <c r="B20" i="1"/>
  <c r="B19" i="1"/>
  <c r="C19" i="1" s="1"/>
  <c r="C18" i="1"/>
  <c r="B18" i="1"/>
  <c r="B17" i="1"/>
  <c r="C17" i="1" s="1"/>
  <c r="B16" i="1"/>
  <c r="C16" i="1" s="1"/>
  <c r="C25" i="1" s="1"/>
  <c r="O13" i="1"/>
  <c r="N13" i="1"/>
  <c r="M13" i="1"/>
  <c r="L13" i="1"/>
  <c r="K13" i="1"/>
  <c r="J13" i="1"/>
  <c r="I13" i="1"/>
  <c r="H13" i="1"/>
  <c r="G13" i="1"/>
  <c r="F13" i="1"/>
  <c r="E13" i="1"/>
  <c r="D13" i="1"/>
  <c r="B12" i="1"/>
  <c r="B11" i="1"/>
  <c r="B10" i="1"/>
  <c r="B9" i="1"/>
  <c r="B8" i="1"/>
  <c r="B7" i="1"/>
  <c r="B6" i="1"/>
  <c r="B5" i="1"/>
  <c r="B4" i="1"/>
  <c r="B3" i="1"/>
  <c r="B2" i="1"/>
  <c r="B13" i="1" s="1"/>
  <c r="B25" i="1" l="1"/>
</calcChain>
</file>

<file path=xl/sharedStrings.xml><?xml version="1.0" encoding="utf-8"?>
<sst xmlns="http://schemas.openxmlformats.org/spreadsheetml/2006/main" count="153" uniqueCount="57">
  <si>
    <t>PROFILE (in LM)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</si>
  <si>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</si>
  <si>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</si>
  <si>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</si>
  <si>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</si>
  <si>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</si>
  <si>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</si>
  <si>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</si>
  <si>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</si>
  <si>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</si>
  <si>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</si>
  <si>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</si>
  <si>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</si>
  <si>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</si>
  <si>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5-Rib</t>
  </si>
  <si>
    <t>8-Rib</t>
  </si>
  <si>
    <t>Corrugated</t>
  </si>
  <si>
    <t>Monaco Tile</t>
  </si>
  <si>
    <t>Milazzo Tile</t>
  </si>
  <si>
    <t>-</t>
  </si>
  <si>
    <t>Cladding</t>
  </si>
  <si>
    <t>Spandrel</t>
  </si>
  <si>
    <t>Deck 16</t>
  </si>
  <si>
    <t>Deck 24</t>
  </si>
  <si>
    <t>North Steel</t>
  </si>
  <si>
    <t>NS Wood Grain-Spandrel</t>
  </si>
  <si>
    <t>GAUGE (in LM)</t>
  </si>
  <si>
    <t>Tons</t>
  </si>
  <si>
    <t>0.35mm</t>
  </si>
  <si>
    <t>0.40mm</t>
  </si>
  <si>
    <t>0.50mm</t>
  </si>
  <si>
    <t>0.60mm</t>
  </si>
  <si>
    <t>0.75mm (galv)</t>
  </si>
  <si>
    <t>0.80mm (galv)</t>
  </si>
  <si>
    <t>1.00mm (galv)</t>
  </si>
  <si>
    <t>.35mm (spandrel)</t>
  </si>
  <si>
    <t>.4mm (spandrel)</t>
  </si>
  <si>
    <t>Color (in LM)</t>
  </si>
  <si>
    <t xml:space="preserve">RED </t>
  </si>
  <si>
    <t>GREEN</t>
  </si>
  <si>
    <t>BROWN</t>
  </si>
  <si>
    <t>MANDARIN RED</t>
  </si>
  <si>
    <t>BLUE</t>
  </si>
  <si>
    <t>WHITE</t>
  </si>
  <si>
    <t>GRAY</t>
  </si>
  <si>
    <t>BEIGE</t>
  </si>
  <si>
    <t>TERRACOTTA</t>
  </si>
  <si>
    <t>OFF WHITE</t>
  </si>
  <si>
    <t>BRICK ORANGE</t>
  </si>
  <si>
    <t>DARK WOOD</t>
  </si>
  <si>
    <t>LIGHT WOOD</t>
  </si>
  <si>
    <t>OCEAN BLUE</t>
  </si>
  <si>
    <t>PALM GREEN</t>
  </si>
  <si>
    <t>No. of Bended</t>
  </si>
  <si>
    <t>No. of Days</t>
  </si>
  <si>
    <t>Average Daily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</si>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</sst>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CC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164" fontId="3" fillId="0" borderId="1" xfId="1" applyFont="1" applyBorder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3" fillId="0" borderId="0" xfId="1" applyFont="1" applyAlignment="1">
      <alignment horizontal="center"/>
    </xf>
    <xf numFmtId="0" fontId="0" fillId="0" borderId="1" xfId="0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164" fontId="0" fillId="0" borderId="1" xfId="1" applyFont="1" applyBorder="1" applyAlignment="1">
      <alignment horizontal="right"/>
    </xf>
    <xf numFmtId="164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164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164" fontId="0" fillId="0" borderId="1" xfId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tabSelected="1" zoomScaleNormal="100" workbookViewId="0">
      <pane xSplit="1" ySplit="1" topLeftCell="D2" activePane="bottomRight" state="frozenSplit"/>
      <selection pane="topRight" activeCell="B1" sqref="B1"/>
      <selection pane="bottomLeft" activeCell="A2" sqref="A2"/>
      <selection pane="bottomRight" activeCell="E34" sqref="E34"/>
    </sheetView>
  </sheetViews>
  <sheetFormatPr defaultRowHeight="15" x14ac:dyDescent="0.25"/>
  <cols>
    <col min="1" max="1" width="15.7109375" style="33" customWidth="1"/>
    <col min="2" max="3" width="15.7109375" style="15" customWidth="1"/>
    <col min="4" max="15" width="15.7109375" style="17" customWidth="1"/>
    <col min="16" max="17" width="9.140625" style="17"/>
    <col min="18" max="16384" width="9.140625" style="15"/>
  </cols>
  <sheetData>
    <row r="1" spans="1:21" x14ac:dyDescent="0.25">
      <c r="A1" s="16" t="s">
        <v>26</v>
      </c>
      <c r="B1" s="16" t="s">
        <v>1</v>
      </c>
      <c r="C1" s="16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21" s="8" customFormat="1" x14ac:dyDescent="0.25">
      <c r="A2" s="4" t="s">
        <v>28</v>
      </c>
      <c r="B2" s="5">
        <f t="shared" ref="B2:B10" si="0">SUM(D2:O2)</f>
        <v>0</v>
      </c>
      <c r="C2" s="5">
        <f>B2*3.1</f>
        <v>0</v>
      </c>
      <c r="D2" s="6" t="s">
        <v>19</v>
      </c>
      <c r="E2" s="6"/>
      <c r="F2" s="6"/>
      <c r="G2" s="6"/>
      <c r="H2" s="6" t="s">
        <v>19</v>
      </c>
      <c r="I2" s="6" t="s">
        <v>19</v>
      </c>
      <c r="J2" s="6"/>
      <c r="K2" s="6"/>
      <c r="L2" s="6"/>
      <c r="M2" s="6"/>
      <c r="N2" s="6"/>
      <c r="O2" s="6"/>
      <c r="P2" s="7"/>
      <c r="Q2" s="7"/>
    </row>
    <row r="3" spans="1:21" s="8" customFormat="1" x14ac:dyDescent="0.25">
      <c r="A3" s="4" t="s">
        <v>29</v>
      </c>
      <c r="B3" s="5">
        <f t="shared" si="0"/>
        <v>289188</v>
      </c>
      <c r="C3" s="5">
        <f>B3*3.5</f>
        <v>1012158</v>
      </c>
      <c r="D3" s="6">
        <v>61244</v>
      </c>
      <c r="E3" s="6">
        <v>54310</v>
      </c>
      <c r="F3" s="6">
        <v>65608</v>
      </c>
      <c r="G3" s="6">
        <v>52152</v>
      </c>
      <c r="H3" s="6">
        <v>55874</v>
      </c>
      <c r="I3" s="6"/>
      <c r="J3" s="6"/>
      <c r="K3" s="6"/>
      <c r="L3" s="6"/>
      <c r="M3" s="6"/>
      <c r="N3" s="6"/>
      <c r="O3" s="6"/>
      <c r="P3" s="7"/>
      <c r="Q3" s="7"/>
    </row>
    <row r="4" spans="1:21" s="8" customFormat="1" x14ac:dyDescent="0.25">
      <c r="A4" s="4" t="s">
        <v>30</v>
      </c>
      <c r="B4" s="5">
        <f t="shared" si="0"/>
        <v>732685</v>
      </c>
      <c r="C4" s="5">
        <f>B4*4.5</f>
        <v>3297082.5</v>
      </c>
      <c r="D4" s="6">
        <v>123735</v>
      </c>
      <c r="E4" s="6">
        <v>133140</v>
      </c>
      <c r="F4" s="6">
        <v>172225</v>
      </c>
      <c r="G4" s="6">
        <v>159341</v>
      </c>
      <c r="H4" s="6">
        <v>144244</v>
      </c>
      <c r="I4" s="6"/>
      <c r="J4" s="6"/>
      <c r="K4" s="6"/>
      <c r="L4" s="6"/>
      <c r="M4" s="6"/>
      <c r="N4" s="6"/>
      <c r="O4" s="6"/>
      <c r="P4" s="7"/>
      <c r="Q4" s="7"/>
    </row>
    <row r="5" spans="1:21" s="8" customFormat="1" x14ac:dyDescent="0.25">
      <c r="A5" s="4" t="s">
        <v>31</v>
      </c>
      <c r="B5" s="5">
        <f t="shared" si="0"/>
        <v>202511</v>
      </c>
      <c r="C5" s="5">
        <f>B5*5.5</f>
        <v>1113810.5</v>
      </c>
      <c r="D5" s="6">
        <v>33601</v>
      </c>
      <c r="E5" s="6">
        <v>34612</v>
      </c>
      <c r="F5" s="6">
        <v>64448</v>
      </c>
      <c r="G5" s="6">
        <v>44214</v>
      </c>
      <c r="H5" s="6">
        <v>25636</v>
      </c>
      <c r="I5" s="6"/>
      <c r="J5" s="6"/>
      <c r="K5" s="6"/>
      <c r="L5" s="6"/>
      <c r="M5" s="6"/>
      <c r="N5" s="6"/>
      <c r="O5" s="6"/>
      <c r="P5" s="7"/>
      <c r="Q5" s="7"/>
    </row>
    <row r="6" spans="1:21" s="8" customFormat="1" x14ac:dyDescent="0.25">
      <c r="A6" s="4" t="s">
        <v>32</v>
      </c>
      <c r="B6" s="5">
        <f t="shared" si="0"/>
        <v>2235</v>
      </c>
      <c r="C6" s="5"/>
      <c r="D6" s="6">
        <v>323</v>
      </c>
      <c r="E6" s="6" t="s">
        <v>19</v>
      </c>
      <c r="F6" s="6" t="s">
        <v>19</v>
      </c>
      <c r="G6" s="6" t="s">
        <v>19</v>
      </c>
      <c r="H6" s="6">
        <v>1912</v>
      </c>
      <c r="I6" s="6"/>
      <c r="J6" s="6"/>
      <c r="K6" s="6"/>
      <c r="L6" s="6"/>
      <c r="M6" s="6"/>
      <c r="N6" s="6"/>
      <c r="O6" s="6"/>
      <c r="P6" s="7"/>
      <c r="Q6" s="7"/>
    </row>
    <row r="7" spans="1:21" s="8" customFormat="1" x14ac:dyDescent="0.25">
      <c r="A7" s="4" t="s">
        <v>33</v>
      </c>
      <c r="B7" s="5">
        <f t="shared" si="0"/>
        <v>23159</v>
      </c>
      <c r="C7" s="5"/>
      <c r="D7" s="6">
        <v>3902</v>
      </c>
      <c r="E7" s="6">
        <v>2860</v>
      </c>
      <c r="F7" s="6">
        <v>3738</v>
      </c>
      <c r="G7" s="6">
        <v>4632</v>
      </c>
      <c r="H7" s="6">
        <v>8027</v>
      </c>
      <c r="I7" s="6"/>
      <c r="J7" s="6"/>
      <c r="K7" s="6"/>
      <c r="L7" s="6"/>
      <c r="M7" s="6"/>
      <c r="N7" s="6"/>
      <c r="O7" s="6"/>
      <c r="P7" s="7"/>
      <c r="Q7" s="7"/>
      <c r="U7" s="8" t="s">
        <v>56</v>
      </c>
    </row>
    <row r="8" spans="1:21" s="8" customFormat="1" x14ac:dyDescent="0.25">
      <c r="A8" s="4" t="s">
        <v>34</v>
      </c>
      <c r="B8" s="5">
        <f t="shared" si="0"/>
        <v>36259</v>
      </c>
      <c r="C8" s="5"/>
      <c r="D8" s="6">
        <v>2870</v>
      </c>
      <c r="E8" s="6">
        <v>1082</v>
      </c>
      <c r="F8" s="6">
        <v>23241</v>
      </c>
      <c r="G8" s="6">
        <v>3854</v>
      </c>
      <c r="H8" s="6">
        <v>5212</v>
      </c>
      <c r="I8" s="6"/>
      <c r="J8" s="6"/>
      <c r="K8" s="6"/>
      <c r="L8" s="6"/>
      <c r="M8" s="6"/>
      <c r="N8" s="6"/>
      <c r="O8" s="6"/>
      <c r="P8" s="7"/>
      <c r="Q8" s="7"/>
    </row>
    <row r="9" spans="1:21" s="8" customFormat="1" x14ac:dyDescent="0.25">
      <c r="A9" s="4" t="s">
        <v>35</v>
      </c>
      <c r="B9" s="5">
        <f t="shared" si="0"/>
        <v>0</v>
      </c>
      <c r="C9" s="5"/>
      <c r="D9" s="6" t="s">
        <v>19</v>
      </c>
      <c r="E9" s="6" t="s">
        <v>19</v>
      </c>
      <c r="F9" s="6"/>
      <c r="G9" s="6" t="s">
        <v>19</v>
      </c>
      <c r="H9" s="6" t="s">
        <v>19</v>
      </c>
      <c r="I9" s="6"/>
      <c r="J9" s="6"/>
      <c r="K9" s="6"/>
      <c r="L9" s="6"/>
      <c r="M9" s="6"/>
      <c r="N9" s="6"/>
      <c r="O9" s="6"/>
      <c r="P9" s="7"/>
      <c r="Q9" s="7"/>
    </row>
    <row r="10" spans="1:21" s="8" customFormat="1" x14ac:dyDescent="0.25">
      <c r="A10" s="4" t="s">
        <v>36</v>
      </c>
      <c r="B10" s="5">
        <f t="shared" si="0"/>
        <v>50442.5</v>
      </c>
      <c r="C10" s="5"/>
      <c r="D10" s="6">
        <v>7574.5</v>
      </c>
      <c r="E10" s="6">
        <v>10366</v>
      </c>
      <c r="F10" s="6">
        <v>18979.5</v>
      </c>
      <c r="G10" s="6">
        <v>6054</v>
      </c>
      <c r="H10" s="6">
        <v>7468.5</v>
      </c>
      <c r="I10" s="6"/>
      <c r="J10" s="6"/>
      <c r="K10" s="6"/>
      <c r="L10" s="6"/>
      <c r="M10" s="6"/>
      <c r="N10" s="6"/>
      <c r="O10" s="6"/>
      <c r="P10" s="7"/>
      <c r="Q10" s="7"/>
    </row>
    <row r="11" spans="1:21" s="11" customFormat="1" x14ac:dyDescent="0.25">
      <c r="A11" s="9" t="s">
        <v>1</v>
      </c>
      <c r="B11" s="10">
        <f>SUM(B2:B10)</f>
        <v>1336479.5</v>
      </c>
      <c r="C11" s="10">
        <f t="shared" ref="C11:O11" si="1">SUM(C2:C10)</f>
        <v>5423051</v>
      </c>
      <c r="D11" s="10">
        <f t="shared" si="1"/>
        <v>233249.5</v>
      </c>
      <c r="E11" s="10">
        <f t="shared" si="1"/>
        <v>236370</v>
      </c>
      <c r="F11" s="10">
        <f t="shared" si="1"/>
        <v>348239.5</v>
      </c>
      <c r="G11" s="10">
        <f t="shared" si="1"/>
        <v>270247</v>
      </c>
      <c r="H11" s="10">
        <f t="shared" si="1"/>
        <v>248373.5</v>
      </c>
      <c r="I11" s="10">
        <f t="shared" si="1"/>
        <v>0</v>
      </c>
      <c r="J11" s="10">
        <f t="shared" si="1"/>
        <v>0</v>
      </c>
      <c r="K11" s="10">
        <f t="shared" si="1"/>
        <v>0</v>
      </c>
      <c r="L11" s="10">
        <f t="shared" si="1"/>
        <v>0</v>
      </c>
      <c r="M11" s="10">
        <f t="shared" si="1"/>
        <v>0</v>
      </c>
      <c r="N11" s="10">
        <f t="shared" si="1"/>
        <v>0</v>
      </c>
      <c r="O11" s="10">
        <f t="shared" si="1"/>
        <v>0</v>
      </c>
      <c r="P11" s="3"/>
      <c r="Q11" s="3"/>
    </row>
    <row r="12" spans="1:21" x14ac:dyDescent="0.25">
      <c r="A12" s="4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  <c r="Q12" s="14"/>
    </row>
  </sheetData>
  <pageMargins left="0.70866141732283472" right="0.70866141732283472" top="0.74803149606299213" bottom="0.74803149606299213" header="0.31496062992125984" footer="0.31496062992125984"/>
  <pageSetup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zoomScaleNormal="10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U21" sqref="U21"/>
    </sheetView>
  </sheetViews>
  <sheetFormatPr defaultRowHeight="15" x14ac:dyDescent="0.25"/>
  <cols>
    <col min="1" max="1" width="15.7109375" style="33" customWidth="1"/>
    <col min="2" max="3" width="15.7109375" style="15" customWidth="1"/>
    <col min="4" max="15" width="15.7109375" style="17" customWidth="1"/>
    <col min="16" max="17" width="9.140625" style="17"/>
    <col min="18" max="16384" width="9.140625" style="15"/>
  </cols>
  <sheetData>
    <row r="1" spans="1:17" s="3" customFormat="1" x14ac:dyDescent="0.25">
      <c r="A1" s="1" t="s">
        <v>0</v>
      </c>
      <c r="B1" s="2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7" s="8" customFormat="1" x14ac:dyDescent="0.25">
      <c r="A2" s="4" t="s">
        <v>14</v>
      </c>
      <c r="B2" s="5">
        <f>SUM(D2:O2)</f>
        <v>104238.78</v>
      </c>
      <c r="C2" s="5"/>
      <c r="D2" s="6">
        <v>18165.61</v>
      </c>
      <c r="E2" s="6">
        <v>19969.580000000002</v>
      </c>
      <c r="F2" s="5">
        <v>24816.83</v>
      </c>
      <c r="G2" s="6">
        <v>21346.54</v>
      </c>
      <c r="H2" s="6">
        <v>19940.22</v>
      </c>
      <c r="I2" s="6"/>
      <c r="J2" s="6"/>
      <c r="K2" s="6"/>
      <c r="L2" s="6"/>
      <c r="M2" s="6"/>
      <c r="N2" s="6"/>
      <c r="O2" s="6"/>
      <c r="P2" s="7"/>
      <c r="Q2" s="7"/>
    </row>
    <row r="3" spans="1:17" s="8" customFormat="1" x14ac:dyDescent="0.25">
      <c r="A3" s="4" t="s">
        <v>15</v>
      </c>
      <c r="B3" s="5">
        <f t="shared" ref="B3:B12" si="0">SUM(D3:O3)</f>
        <v>106749.24</v>
      </c>
      <c r="C3" s="5"/>
      <c r="D3" s="6">
        <v>16576.36</v>
      </c>
      <c r="E3" s="6">
        <v>19513.830000000002</v>
      </c>
      <c r="F3" s="5">
        <v>27434.959999999999</v>
      </c>
      <c r="G3" s="6">
        <v>22382.35</v>
      </c>
      <c r="H3" s="6">
        <v>20841.740000000002</v>
      </c>
      <c r="I3" s="6"/>
      <c r="J3" s="6"/>
      <c r="K3" s="6"/>
      <c r="L3" s="6"/>
      <c r="M3" s="6"/>
      <c r="N3" s="6"/>
      <c r="O3" s="6"/>
      <c r="P3" s="7"/>
      <c r="Q3" s="7"/>
    </row>
    <row r="4" spans="1:17" s="8" customFormat="1" x14ac:dyDescent="0.25">
      <c r="A4" s="4" t="s">
        <v>16</v>
      </c>
      <c r="B4" s="5">
        <f t="shared" si="0"/>
        <v>11866.989999999998</v>
      </c>
      <c r="C4" s="5"/>
      <c r="D4" s="6">
        <v>3442.72</v>
      </c>
      <c r="E4" s="6">
        <v>1617.58</v>
      </c>
      <c r="F4" s="5">
        <v>2710.99</v>
      </c>
      <c r="G4" s="6">
        <v>1640.39</v>
      </c>
      <c r="H4" s="6">
        <v>2455.31</v>
      </c>
      <c r="I4" s="6"/>
      <c r="J4" s="6"/>
      <c r="K4" s="6"/>
      <c r="L4" s="6"/>
      <c r="M4" s="6"/>
      <c r="N4" s="6"/>
      <c r="O4" s="6"/>
      <c r="P4" s="7"/>
      <c r="Q4" s="7"/>
    </row>
    <row r="5" spans="1:17" s="8" customFormat="1" x14ac:dyDescent="0.25">
      <c r="A5" s="4" t="s">
        <v>17</v>
      </c>
      <c r="B5" s="5">
        <f t="shared" si="0"/>
        <v>5501.5300000000007</v>
      </c>
      <c r="C5" s="5"/>
      <c r="D5" s="6">
        <v>1006.72</v>
      </c>
      <c r="E5" s="6">
        <v>2399.13</v>
      </c>
      <c r="F5" s="5">
        <v>794.89</v>
      </c>
      <c r="G5" s="6">
        <v>559.91</v>
      </c>
      <c r="H5" s="6">
        <v>740.88</v>
      </c>
      <c r="I5" s="6"/>
      <c r="J5" s="6"/>
      <c r="K5" s="6"/>
      <c r="L5" s="6"/>
      <c r="M5" s="6"/>
      <c r="N5" s="6"/>
      <c r="O5" s="6"/>
      <c r="P5" s="7"/>
      <c r="Q5" s="7"/>
    </row>
    <row r="6" spans="1:17" s="8" customFormat="1" x14ac:dyDescent="0.25">
      <c r="A6" s="4" t="s">
        <v>18</v>
      </c>
      <c r="B6" s="5">
        <f t="shared" si="0"/>
        <v>974.12000000000012</v>
      </c>
      <c r="C6" s="5"/>
      <c r="D6" s="6">
        <v>306.56</v>
      </c>
      <c r="E6" s="6" t="s">
        <v>19</v>
      </c>
      <c r="F6" s="5">
        <v>272.86</v>
      </c>
      <c r="G6" s="6" t="s">
        <v>19</v>
      </c>
      <c r="H6" s="6">
        <v>394.7</v>
      </c>
      <c r="I6" s="6"/>
      <c r="J6" s="6"/>
      <c r="K6" s="6"/>
      <c r="L6" s="6"/>
      <c r="M6" s="6"/>
      <c r="N6" s="6"/>
      <c r="O6" s="6"/>
      <c r="P6" s="7"/>
      <c r="Q6" s="7"/>
    </row>
    <row r="7" spans="1:17" s="8" customFormat="1" x14ac:dyDescent="0.25">
      <c r="A7" s="4" t="s">
        <v>20</v>
      </c>
      <c r="B7" s="5">
        <f t="shared" si="0"/>
        <v>12051.329999999998</v>
      </c>
      <c r="C7" s="5"/>
      <c r="D7" s="6">
        <v>2129.77</v>
      </c>
      <c r="E7" s="6">
        <v>2285.4</v>
      </c>
      <c r="F7" s="5">
        <v>2059.7399999999998</v>
      </c>
      <c r="G7" s="6">
        <v>3239.87</v>
      </c>
      <c r="H7" s="6">
        <v>2336.5500000000002</v>
      </c>
      <c r="I7" s="6"/>
      <c r="J7" s="6"/>
      <c r="K7" s="6"/>
      <c r="L7" s="6"/>
      <c r="M7" s="6"/>
      <c r="N7" s="6"/>
      <c r="O7" s="6"/>
      <c r="P7" s="7"/>
      <c r="Q7" s="7"/>
    </row>
    <row r="8" spans="1:17" s="8" customFormat="1" x14ac:dyDescent="0.25">
      <c r="A8" s="4" t="s">
        <v>21</v>
      </c>
      <c r="B8" s="5">
        <f t="shared" si="0"/>
        <v>73029.87</v>
      </c>
      <c r="C8" s="5"/>
      <c r="D8" s="6">
        <v>12977.05</v>
      </c>
      <c r="E8" s="6">
        <v>14630.38</v>
      </c>
      <c r="F8" s="5">
        <v>23250.21</v>
      </c>
      <c r="G8" s="6">
        <v>10109.68</v>
      </c>
      <c r="H8" s="6">
        <v>12062.55</v>
      </c>
      <c r="I8" s="6"/>
      <c r="J8" s="6"/>
      <c r="K8" s="6"/>
      <c r="L8" s="6"/>
      <c r="M8" s="6"/>
      <c r="N8" s="6"/>
      <c r="O8" s="6"/>
      <c r="P8" s="7"/>
      <c r="Q8" s="7"/>
    </row>
    <row r="9" spans="1:17" s="8" customFormat="1" x14ac:dyDescent="0.25">
      <c r="A9" s="4" t="s">
        <v>22</v>
      </c>
      <c r="B9" s="5">
        <f t="shared" si="0"/>
        <v>7725.5999999999995</v>
      </c>
      <c r="C9" s="5"/>
      <c r="D9" s="6">
        <v>1211.8</v>
      </c>
      <c r="E9" s="6">
        <v>50.8</v>
      </c>
      <c r="F9" s="5">
        <v>3066.05</v>
      </c>
      <c r="G9" s="6">
        <v>1175.2</v>
      </c>
      <c r="H9" s="6">
        <v>2221.75</v>
      </c>
      <c r="I9" s="6"/>
      <c r="J9" s="6"/>
      <c r="K9" s="6"/>
      <c r="L9" s="6"/>
      <c r="M9" s="6"/>
      <c r="N9" s="6"/>
      <c r="O9" s="6"/>
      <c r="P9" s="7"/>
      <c r="Q9" s="7"/>
    </row>
    <row r="10" spans="1:17" s="8" customFormat="1" x14ac:dyDescent="0.25">
      <c r="A10" s="4" t="s">
        <v>23</v>
      </c>
      <c r="B10" s="5">
        <f t="shared" si="0"/>
        <v>5893.74</v>
      </c>
      <c r="C10" s="5"/>
      <c r="D10" s="6">
        <v>863.25</v>
      </c>
      <c r="E10" s="6">
        <v>876.54</v>
      </c>
      <c r="F10" s="5">
        <v>427.85</v>
      </c>
      <c r="G10" s="6">
        <v>1452.73</v>
      </c>
      <c r="H10" s="6">
        <v>2273.37</v>
      </c>
      <c r="I10" s="6"/>
      <c r="J10" s="6"/>
      <c r="K10" s="6"/>
      <c r="L10" s="6"/>
      <c r="M10" s="6"/>
      <c r="N10" s="6"/>
      <c r="O10" s="6"/>
      <c r="P10" s="7"/>
      <c r="Q10" s="7"/>
    </row>
    <row r="11" spans="1:17" s="8" customFormat="1" x14ac:dyDescent="0.25">
      <c r="A11" s="4" t="s">
        <v>24</v>
      </c>
      <c r="B11" s="5">
        <f t="shared" si="0"/>
        <v>2901.1699999999996</v>
      </c>
      <c r="C11" s="5"/>
      <c r="D11" s="6">
        <v>486.3</v>
      </c>
      <c r="E11" s="6">
        <v>142.54</v>
      </c>
      <c r="F11" s="5">
        <v>1159.01</v>
      </c>
      <c r="G11" s="6">
        <v>287.43</v>
      </c>
      <c r="H11" s="6">
        <v>825.89</v>
      </c>
      <c r="I11" s="6"/>
      <c r="J11" s="6"/>
      <c r="K11" s="6"/>
      <c r="L11" s="6"/>
      <c r="M11" s="6"/>
      <c r="N11" s="6"/>
      <c r="O11" s="6"/>
      <c r="P11" s="7"/>
      <c r="Q11" s="7"/>
    </row>
    <row r="12" spans="1:17" s="8" customFormat="1" x14ac:dyDescent="0.25">
      <c r="A12" s="4" t="s">
        <v>25</v>
      </c>
      <c r="B12" s="5">
        <f t="shared" si="0"/>
        <v>0</v>
      </c>
      <c r="C12" s="5"/>
      <c r="D12" s="6"/>
      <c r="E12" s="6"/>
      <c r="F12" s="5"/>
      <c r="G12" s="6"/>
      <c r="H12" s="6"/>
      <c r="I12" s="6"/>
      <c r="J12" s="6"/>
      <c r="K12" s="6"/>
      <c r="L12" s="6"/>
      <c r="M12" s="6"/>
      <c r="N12" s="6"/>
      <c r="O12" s="6"/>
      <c r="P12" s="7"/>
      <c r="Q12" s="7"/>
    </row>
    <row r="13" spans="1:17" s="11" customFormat="1" x14ac:dyDescent="0.25">
      <c r="A13" s="9" t="s">
        <v>1</v>
      </c>
      <c r="B13" s="10">
        <f>SUM(B2:B12)</f>
        <v>330932.36999999994</v>
      </c>
      <c r="C13" s="10"/>
      <c r="D13" s="1">
        <f t="shared" ref="D13:O13" si="1">SUM(D2:D12)</f>
        <v>57166.14</v>
      </c>
      <c r="E13" s="1">
        <f t="shared" si="1"/>
        <v>61485.780000000006</v>
      </c>
      <c r="F13" s="1">
        <f t="shared" si="1"/>
        <v>85993.39</v>
      </c>
      <c r="G13" s="1">
        <f t="shared" si="1"/>
        <v>62194.100000000006</v>
      </c>
      <c r="H13" s="1">
        <f t="shared" si="1"/>
        <v>64092.959999999999</v>
      </c>
      <c r="I13" s="1">
        <f t="shared" si="1"/>
        <v>0</v>
      </c>
      <c r="J13" s="1">
        <f t="shared" si="1"/>
        <v>0</v>
      </c>
      <c r="K13" s="1">
        <f t="shared" si="1"/>
        <v>0</v>
      </c>
      <c r="L13" s="1">
        <f t="shared" si="1"/>
        <v>0</v>
      </c>
      <c r="M13" s="1">
        <f t="shared" si="1"/>
        <v>0</v>
      </c>
      <c r="N13" s="1">
        <f>SUM(N2:N12)</f>
        <v>0</v>
      </c>
      <c r="O13" s="1">
        <f t="shared" si="1"/>
        <v>0</v>
      </c>
      <c r="P13" s="3"/>
      <c r="Q13" s="3"/>
    </row>
    <row r="14" spans="1:17" x14ac:dyDescent="0.25">
      <c r="A14" s="4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4"/>
    </row>
    <row r="15" spans="1:17" x14ac:dyDescent="0.25">
      <c r="A15" s="16" t="s">
        <v>26</v>
      </c>
      <c r="B15" s="16" t="s">
        <v>1</v>
      </c>
      <c r="C15" s="16" t="s">
        <v>27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13</v>
      </c>
    </row>
    <row r="16" spans="1:17" s="8" customFormat="1" x14ac:dyDescent="0.25">
      <c r="A16" s="4" t="s">
        <v>28</v>
      </c>
      <c r="B16" s="5">
        <f t="shared" ref="B16:B24" si="2">SUM(D16:O16)</f>
        <v>0</v>
      </c>
      <c r="C16" s="5">
        <f>B16*3.1</f>
        <v>0</v>
      </c>
      <c r="D16" s="6" t="s">
        <v>19</v>
      </c>
      <c r="E16" s="6"/>
      <c r="F16" s="6"/>
      <c r="G16" s="6"/>
      <c r="H16" s="6" t="s">
        <v>19</v>
      </c>
      <c r="I16" s="6" t="s">
        <v>19</v>
      </c>
      <c r="J16" s="6"/>
      <c r="K16" s="6"/>
      <c r="L16" s="6"/>
      <c r="M16" s="6"/>
      <c r="N16" s="6"/>
      <c r="O16" s="6"/>
      <c r="P16" s="7"/>
      <c r="Q16" s="7"/>
    </row>
    <row r="17" spans="1:17" s="8" customFormat="1" x14ac:dyDescent="0.25">
      <c r="A17" s="4" t="s">
        <v>29</v>
      </c>
      <c r="B17" s="5">
        <f t="shared" si="2"/>
        <v>85949.26</v>
      </c>
      <c r="C17" s="5">
        <f>B17*3.5</f>
        <v>300822.40999999997</v>
      </c>
      <c r="D17" s="6">
        <v>18172.04</v>
      </c>
      <c r="E17" s="6">
        <v>16109.8</v>
      </c>
      <c r="F17" s="6">
        <v>19534.16</v>
      </c>
      <c r="G17" s="6">
        <v>15530.18</v>
      </c>
      <c r="H17" s="6">
        <v>16603.080000000002</v>
      </c>
      <c r="I17" s="6"/>
      <c r="J17" s="6"/>
      <c r="K17" s="6"/>
      <c r="L17" s="6"/>
      <c r="M17" s="6"/>
      <c r="N17" s="6"/>
      <c r="O17" s="6"/>
      <c r="P17" s="7"/>
      <c r="Q17" s="7"/>
    </row>
    <row r="18" spans="1:17" s="8" customFormat="1" x14ac:dyDescent="0.25">
      <c r="A18" s="4" t="s">
        <v>30</v>
      </c>
      <c r="B18" s="5">
        <f t="shared" si="2"/>
        <v>169762.13</v>
      </c>
      <c r="C18" s="5">
        <f>B18*4.5</f>
        <v>763929.58499999996</v>
      </c>
      <c r="D18" s="6">
        <v>28556.76</v>
      </c>
      <c r="E18" s="6">
        <v>30763.040000000001</v>
      </c>
      <c r="F18" s="6">
        <v>39989.620000000003</v>
      </c>
      <c r="G18" s="6">
        <v>36996.839999999997</v>
      </c>
      <c r="H18" s="6">
        <v>33455.870000000003</v>
      </c>
      <c r="I18" s="6"/>
      <c r="J18" s="6"/>
      <c r="K18" s="6"/>
      <c r="L18" s="6"/>
      <c r="M18" s="6"/>
      <c r="N18" s="6"/>
      <c r="O18" s="6"/>
      <c r="P18" s="7"/>
      <c r="Q18" s="7"/>
    </row>
    <row r="19" spans="1:17" s="8" customFormat="1" x14ac:dyDescent="0.25">
      <c r="A19" s="4" t="s">
        <v>31</v>
      </c>
      <c r="B19" s="5">
        <f t="shared" si="2"/>
        <v>38252.860000000008</v>
      </c>
      <c r="C19" s="5">
        <f>B19*5.5</f>
        <v>210390.73000000004</v>
      </c>
      <c r="D19" s="6">
        <v>6341.12</v>
      </c>
      <c r="E19" s="6">
        <v>6532.1</v>
      </c>
      <c r="F19" s="6">
        <v>12173.62</v>
      </c>
      <c r="G19" s="6">
        <v>8358.7199999999993</v>
      </c>
      <c r="H19" s="6">
        <v>4847.3</v>
      </c>
      <c r="I19" s="6"/>
      <c r="J19" s="6"/>
      <c r="K19" s="6"/>
      <c r="L19" s="6"/>
      <c r="M19" s="6"/>
      <c r="N19" s="6"/>
      <c r="O19" s="6"/>
      <c r="P19" s="7"/>
      <c r="Q19" s="7"/>
    </row>
    <row r="20" spans="1:17" s="8" customFormat="1" x14ac:dyDescent="0.25">
      <c r="A20" s="4" t="s">
        <v>32</v>
      </c>
      <c r="B20" s="5">
        <f t="shared" si="2"/>
        <v>891.89</v>
      </c>
      <c r="C20" s="5"/>
      <c r="D20" s="6">
        <v>136.97999999999999</v>
      </c>
      <c r="E20" s="6" t="s">
        <v>19</v>
      </c>
      <c r="F20" s="6">
        <v>13.9</v>
      </c>
      <c r="G20" s="6" t="s">
        <v>19</v>
      </c>
      <c r="H20" s="6">
        <v>741.01</v>
      </c>
      <c r="I20" s="6"/>
      <c r="J20" s="6"/>
      <c r="K20" s="6"/>
      <c r="L20" s="6"/>
      <c r="M20" s="6"/>
      <c r="N20" s="6"/>
      <c r="O20" s="6"/>
      <c r="P20" s="7"/>
      <c r="Q20" s="7"/>
    </row>
    <row r="21" spans="1:17" s="8" customFormat="1" x14ac:dyDescent="0.25">
      <c r="A21" s="4" t="s">
        <v>33</v>
      </c>
      <c r="B21" s="5">
        <f t="shared" si="2"/>
        <v>7473.73</v>
      </c>
      <c r="C21" s="5"/>
      <c r="D21" s="6">
        <v>1162.78</v>
      </c>
      <c r="E21" s="6">
        <v>778.85</v>
      </c>
      <c r="F21" s="6">
        <v>1325.66</v>
      </c>
      <c r="G21" s="6">
        <v>1493.55</v>
      </c>
      <c r="H21" s="6">
        <v>2712.89</v>
      </c>
      <c r="I21" s="6"/>
      <c r="J21" s="6"/>
      <c r="K21" s="6"/>
      <c r="L21" s="6"/>
      <c r="M21" s="6"/>
      <c r="N21" s="6"/>
      <c r="O21" s="6"/>
      <c r="P21" s="7"/>
      <c r="Q21" s="7"/>
    </row>
    <row r="22" spans="1:17" s="8" customFormat="1" x14ac:dyDescent="0.25">
      <c r="A22" s="4" t="s">
        <v>34</v>
      </c>
      <c r="B22" s="5">
        <f t="shared" si="2"/>
        <v>10456.9</v>
      </c>
      <c r="C22" s="5"/>
      <c r="D22" s="6">
        <v>899.68</v>
      </c>
      <c r="E22" s="6">
        <v>255.99</v>
      </c>
      <c r="F22" s="6">
        <v>7365.44</v>
      </c>
      <c r="G22" s="6">
        <v>821.06</v>
      </c>
      <c r="H22" s="6">
        <v>1114.73</v>
      </c>
      <c r="I22" s="6"/>
      <c r="J22" s="6"/>
      <c r="K22" s="6"/>
      <c r="L22" s="6"/>
      <c r="M22" s="6"/>
      <c r="N22" s="6"/>
      <c r="O22" s="6"/>
      <c r="P22" s="7"/>
      <c r="Q22" s="7"/>
    </row>
    <row r="23" spans="1:17" s="8" customFormat="1" x14ac:dyDescent="0.25">
      <c r="A23" s="4" t="s">
        <v>35</v>
      </c>
      <c r="B23" s="5">
        <f t="shared" si="2"/>
        <v>0</v>
      </c>
      <c r="C23" s="5"/>
      <c r="D23" s="6" t="s">
        <v>19</v>
      </c>
      <c r="E23" s="6" t="s">
        <v>19</v>
      </c>
      <c r="F23" s="6" t="s">
        <v>19</v>
      </c>
      <c r="G23" s="6" t="s">
        <v>19</v>
      </c>
      <c r="H23" s="6" t="s">
        <v>19</v>
      </c>
      <c r="I23" s="6"/>
      <c r="J23" s="6"/>
      <c r="K23" s="6"/>
      <c r="L23" s="6"/>
      <c r="M23" s="6"/>
      <c r="N23" s="6"/>
      <c r="O23" s="6"/>
      <c r="P23" s="7"/>
      <c r="Q23" s="7"/>
    </row>
    <row r="24" spans="1:17" s="8" customFormat="1" x14ac:dyDescent="0.25">
      <c r="A24" s="4" t="s">
        <v>36</v>
      </c>
      <c r="B24" s="5">
        <f t="shared" si="2"/>
        <v>88921.8</v>
      </c>
      <c r="C24" s="5"/>
      <c r="D24" s="6">
        <v>13565.64</v>
      </c>
      <c r="E24" s="6">
        <v>18348.25</v>
      </c>
      <c r="F24" s="6">
        <v>33265.93</v>
      </c>
      <c r="G24" s="6">
        <v>10633.76</v>
      </c>
      <c r="H24" s="6">
        <v>13108.22</v>
      </c>
      <c r="I24" s="6"/>
      <c r="J24" s="6"/>
      <c r="K24" s="6"/>
      <c r="L24" s="6"/>
      <c r="M24" s="6"/>
      <c r="N24" s="6"/>
      <c r="O24" s="6"/>
      <c r="P24" s="7"/>
      <c r="Q24" s="7"/>
    </row>
    <row r="25" spans="1:17" s="11" customFormat="1" x14ac:dyDescent="0.25">
      <c r="A25" s="9" t="s">
        <v>1</v>
      </c>
      <c r="B25" s="10">
        <f>SUM(B16:B24)</f>
        <v>401708.57</v>
      </c>
      <c r="C25" s="10">
        <f t="shared" ref="C25:O25" si="3">SUM(C16:C24)</f>
        <v>1275142.7249999999</v>
      </c>
      <c r="D25" s="10">
        <f t="shared" si="3"/>
        <v>68835</v>
      </c>
      <c r="E25" s="10">
        <f t="shared" si="3"/>
        <v>72788.03</v>
      </c>
      <c r="F25" s="10">
        <f t="shared" si="3"/>
        <v>113668.32999999999</v>
      </c>
      <c r="G25" s="10">
        <f t="shared" si="3"/>
        <v>73834.11</v>
      </c>
      <c r="H25" s="10">
        <f t="shared" si="3"/>
        <v>72583.100000000006</v>
      </c>
      <c r="I25" s="10">
        <f t="shared" si="3"/>
        <v>0</v>
      </c>
      <c r="J25" s="10">
        <f t="shared" si="3"/>
        <v>0</v>
      </c>
      <c r="K25" s="10">
        <f t="shared" si="3"/>
        <v>0</v>
      </c>
      <c r="L25" s="10">
        <f t="shared" si="3"/>
        <v>0</v>
      </c>
      <c r="M25" s="10">
        <f t="shared" si="3"/>
        <v>0</v>
      </c>
      <c r="N25" s="10">
        <f t="shared" si="3"/>
        <v>0</v>
      </c>
      <c r="O25" s="10">
        <f t="shared" si="3"/>
        <v>0</v>
      </c>
      <c r="P25" s="3"/>
      <c r="Q25" s="3"/>
    </row>
    <row r="26" spans="1:17" x14ac:dyDescent="0.25">
      <c r="A26" s="4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</row>
    <row r="27" spans="1:17" x14ac:dyDescent="0.25">
      <c r="A27" s="16" t="s">
        <v>37</v>
      </c>
      <c r="B27" s="18" t="s">
        <v>1</v>
      </c>
      <c r="C27" s="18"/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11</v>
      </c>
      <c r="N27" s="1" t="s">
        <v>12</v>
      </c>
      <c r="O27" s="1" t="s">
        <v>13</v>
      </c>
    </row>
    <row r="28" spans="1:17" s="8" customFormat="1" x14ac:dyDescent="0.25">
      <c r="A28" s="19" t="s">
        <v>38</v>
      </c>
      <c r="B28" s="5">
        <f t="shared" ref="B28:B42" si="4">SUM(D28:O28)</f>
        <v>53599.929999999993</v>
      </c>
      <c r="C28" s="5"/>
      <c r="D28" s="6">
        <v>10062.58</v>
      </c>
      <c r="E28" s="6">
        <v>10023.959999999999</v>
      </c>
      <c r="F28" s="6">
        <v>11525.28</v>
      </c>
      <c r="G28" s="6">
        <v>12747.3</v>
      </c>
      <c r="H28" s="6">
        <v>9240.81</v>
      </c>
      <c r="I28" s="6"/>
      <c r="J28" s="6"/>
      <c r="K28" s="6"/>
      <c r="L28" s="6"/>
      <c r="M28" s="6"/>
      <c r="N28" s="6"/>
      <c r="O28" s="6"/>
      <c r="P28" s="7"/>
      <c r="Q28" s="7"/>
    </row>
    <row r="29" spans="1:17" s="8" customFormat="1" x14ac:dyDescent="0.25">
      <c r="A29" s="20" t="s">
        <v>39</v>
      </c>
      <c r="B29" s="5">
        <f t="shared" si="4"/>
        <v>43233.11</v>
      </c>
      <c r="C29" s="5"/>
      <c r="D29" s="6">
        <v>5578.63</v>
      </c>
      <c r="E29" s="6">
        <v>8784.2900000000009</v>
      </c>
      <c r="F29" s="6">
        <v>10351.33</v>
      </c>
      <c r="G29" s="6">
        <v>9239.83</v>
      </c>
      <c r="H29" s="6">
        <v>9279.0300000000007</v>
      </c>
      <c r="I29" s="6"/>
      <c r="J29" s="6"/>
      <c r="K29" s="6"/>
      <c r="L29" s="6"/>
      <c r="M29" s="6"/>
      <c r="N29" s="6"/>
      <c r="O29" s="6"/>
      <c r="P29" s="7"/>
      <c r="Q29" s="7"/>
    </row>
    <row r="30" spans="1:17" s="8" customFormat="1" x14ac:dyDescent="0.25">
      <c r="A30" s="21" t="s">
        <v>40</v>
      </c>
      <c r="B30" s="5">
        <f t="shared" si="4"/>
        <v>46679.520000000004</v>
      </c>
      <c r="C30" s="5"/>
      <c r="D30" s="6">
        <v>11937.7</v>
      </c>
      <c r="E30" s="6">
        <v>7961.32</v>
      </c>
      <c r="F30" s="6">
        <v>10810.86</v>
      </c>
      <c r="G30" s="6">
        <v>9119.41</v>
      </c>
      <c r="H30" s="6">
        <v>6850.23</v>
      </c>
      <c r="I30" s="6"/>
      <c r="J30" s="6"/>
      <c r="K30" s="6"/>
      <c r="L30" s="6"/>
      <c r="M30" s="6"/>
      <c r="N30" s="6"/>
      <c r="O30" s="6"/>
      <c r="P30" s="7"/>
      <c r="Q30" s="7"/>
    </row>
    <row r="31" spans="1:17" s="8" customFormat="1" x14ac:dyDescent="0.25">
      <c r="A31" s="22" t="s">
        <v>41</v>
      </c>
      <c r="B31" s="5">
        <f t="shared" si="4"/>
        <v>14166.7</v>
      </c>
      <c r="C31" s="5"/>
      <c r="D31" s="6">
        <v>3231.03</v>
      </c>
      <c r="E31" s="6">
        <v>3015.19</v>
      </c>
      <c r="F31" s="6">
        <v>1987.14</v>
      </c>
      <c r="G31" s="6">
        <v>2380.02</v>
      </c>
      <c r="H31" s="6">
        <v>3553.32</v>
      </c>
      <c r="I31" s="6"/>
      <c r="J31" s="6"/>
      <c r="K31" s="6"/>
      <c r="L31" s="6"/>
      <c r="M31" s="6"/>
      <c r="N31" s="6"/>
      <c r="O31" s="6"/>
      <c r="P31" s="7"/>
      <c r="Q31" s="7"/>
    </row>
    <row r="32" spans="1:17" s="8" customFormat="1" x14ac:dyDescent="0.25">
      <c r="A32" s="23" t="s">
        <v>42</v>
      </c>
      <c r="B32" s="5">
        <f t="shared" si="4"/>
        <v>41328.82</v>
      </c>
      <c r="C32" s="5"/>
      <c r="D32" s="6">
        <v>6269.38</v>
      </c>
      <c r="E32" s="6">
        <v>7245.35</v>
      </c>
      <c r="F32" s="6">
        <v>12478.1</v>
      </c>
      <c r="G32" s="6">
        <v>8931.25</v>
      </c>
      <c r="H32" s="6">
        <v>6404.74</v>
      </c>
      <c r="I32" s="6"/>
      <c r="J32" s="6"/>
      <c r="K32" s="6"/>
      <c r="L32" s="6"/>
      <c r="M32" s="6"/>
      <c r="N32" s="6"/>
      <c r="O32" s="6"/>
      <c r="P32" s="7"/>
      <c r="Q32" s="7"/>
    </row>
    <row r="33" spans="1:17" s="8" customFormat="1" x14ac:dyDescent="0.25">
      <c r="A33" s="9" t="s">
        <v>43</v>
      </c>
      <c r="B33" s="5">
        <f t="shared" si="4"/>
        <v>16089.36</v>
      </c>
      <c r="C33" s="5"/>
      <c r="D33" s="6">
        <v>2770.41</v>
      </c>
      <c r="E33" s="6">
        <v>3044.27</v>
      </c>
      <c r="F33" s="6">
        <v>3340.6</v>
      </c>
      <c r="G33" s="6">
        <v>3446.07</v>
      </c>
      <c r="H33" s="6">
        <v>3488.01</v>
      </c>
      <c r="I33" s="6"/>
      <c r="J33" s="6"/>
      <c r="K33" s="6"/>
      <c r="L33" s="6"/>
      <c r="M33" s="6"/>
      <c r="N33" s="6"/>
      <c r="O33" s="6"/>
      <c r="P33" s="7"/>
      <c r="Q33" s="7"/>
    </row>
    <row r="34" spans="1:17" s="8" customFormat="1" x14ac:dyDescent="0.25">
      <c r="A34" s="24" t="s">
        <v>44</v>
      </c>
      <c r="B34" s="5">
        <f t="shared" si="4"/>
        <v>47958.490000000005</v>
      </c>
      <c r="C34" s="5"/>
      <c r="D34" s="6">
        <v>9972.93</v>
      </c>
      <c r="E34" s="6">
        <v>7800.29</v>
      </c>
      <c r="F34" s="6">
        <v>12013.19</v>
      </c>
      <c r="G34" s="6">
        <v>7954.14</v>
      </c>
      <c r="H34" s="6">
        <v>10217.94</v>
      </c>
      <c r="I34" s="6"/>
      <c r="J34" s="6"/>
      <c r="K34" s="6"/>
      <c r="L34" s="6"/>
      <c r="M34" s="6"/>
      <c r="N34" s="6"/>
      <c r="O34" s="6"/>
      <c r="P34" s="7"/>
      <c r="Q34" s="7"/>
    </row>
    <row r="35" spans="1:17" s="8" customFormat="1" x14ac:dyDescent="0.25">
      <c r="A35" s="25" t="s">
        <v>45</v>
      </c>
      <c r="B35" s="5">
        <f t="shared" si="4"/>
        <v>15443.880000000001</v>
      </c>
      <c r="C35" s="5"/>
      <c r="D35" s="6">
        <v>1061.8399999999999</v>
      </c>
      <c r="E35" s="6">
        <v>2467.11</v>
      </c>
      <c r="F35" s="6">
        <v>5275.81</v>
      </c>
      <c r="G35" s="6">
        <v>4211.82</v>
      </c>
      <c r="H35" s="6">
        <v>2427.3000000000002</v>
      </c>
      <c r="I35" s="6"/>
      <c r="J35" s="6"/>
      <c r="K35" s="6"/>
      <c r="L35" s="6"/>
      <c r="M35" s="6"/>
      <c r="N35" s="6"/>
      <c r="O35" s="6"/>
      <c r="P35" s="7"/>
      <c r="Q35" s="7"/>
    </row>
    <row r="36" spans="1:17" s="8" customFormat="1" x14ac:dyDescent="0.25">
      <c r="A36" s="26" t="s">
        <v>46</v>
      </c>
      <c r="B36" s="5">
        <f t="shared" si="4"/>
        <v>8086.38</v>
      </c>
      <c r="C36" s="5"/>
      <c r="D36" s="6">
        <v>1017.95</v>
      </c>
      <c r="E36" s="6">
        <v>1473.46</v>
      </c>
      <c r="F36" s="6">
        <v>2254.86</v>
      </c>
      <c r="G36" s="6">
        <v>1768.04</v>
      </c>
      <c r="H36" s="6">
        <v>1572.07</v>
      </c>
      <c r="I36" s="6"/>
      <c r="J36" s="6"/>
      <c r="K36" s="6"/>
      <c r="L36" s="6"/>
      <c r="M36" s="6"/>
      <c r="N36" s="6"/>
      <c r="O36" s="6"/>
      <c r="P36" s="7"/>
      <c r="Q36" s="7"/>
    </row>
    <row r="37" spans="1:17" s="8" customFormat="1" x14ac:dyDescent="0.25">
      <c r="A37" s="9" t="s">
        <v>47</v>
      </c>
      <c r="B37" s="5">
        <f t="shared" si="4"/>
        <v>1598.62</v>
      </c>
      <c r="C37" s="5"/>
      <c r="D37" s="6">
        <v>246.49</v>
      </c>
      <c r="E37" s="6">
        <v>95.34</v>
      </c>
      <c r="F37" s="6">
        <v>396.25</v>
      </c>
      <c r="G37" s="6">
        <v>549.52</v>
      </c>
      <c r="H37" s="6">
        <v>311.02</v>
      </c>
      <c r="I37" s="6"/>
      <c r="J37" s="6"/>
      <c r="K37" s="6"/>
      <c r="L37" s="6"/>
      <c r="M37" s="6"/>
      <c r="N37" s="6"/>
      <c r="O37" s="6"/>
      <c r="P37" s="7"/>
      <c r="Q37" s="7"/>
    </row>
    <row r="38" spans="1:17" s="8" customFormat="1" x14ac:dyDescent="0.25">
      <c r="A38" s="27" t="s">
        <v>48</v>
      </c>
      <c r="B38" s="5">
        <f t="shared" si="4"/>
        <v>663.28</v>
      </c>
      <c r="C38" s="5"/>
      <c r="D38" s="6">
        <v>252.54</v>
      </c>
      <c r="E38" s="6">
        <v>193.48</v>
      </c>
      <c r="F38" s="6">
        <v>18.3</v>
      </c>
      <c r="G38" s="6">
        <v>76.64</v>
      </c>
      <c r="H38" s="6">
        <v>122.32</v>
      </c>
      <c r="I38" s="6"/>
      <c r="J38" s="6"/>
      <c r="K38" s="6"/>
      <c r="L38" s="6"/>
      <c r="M38" s="6"/>
      <c r="N38" s="6"/>
      <c r="O38" s="6"/>
      <c r="P38" s="7"/>
      <c r="Q38" s="7"/>
    </row>
    <row r="39" spans="1:17" s="8" customFormat="1" x14ac:dyDescent="0.25">
      <c r="A39" s="28" t="s">
        <v>49</v>
      </c>
      <c r="B39" s="5">
        <f t="shared" si="4"/>
        <v>1451.08</v>
      </c>
      <c r="C39" s="5"/>
      <c r="D39" s="6">
        <v>100.99</v>
      </c>
      <c r="E39" s="6">
        <v>262.60000000000002</v>
      </c>
      <c r="F39" s="6">
        <v>400.71</v>
      </c>
      <c r="G39" s="6">
        <v>159.84</v>
      </c>
      <c r="H39" s="6">
        <v>526.94000000000005</v>
      </c>
      <c r="I39" s="6"/>
      <c r="J39" s="6"/>
      <c r="K39" s="6"/>
      <c r="L39" s="6"/>
      <c r="M39" s="6"/>
      <c r="N39" s="6"/>
      <c r="O39" s="6"/>
      <c r="P39" s="7"/>
      <c r="Q39" s="7"/>
    </row>
    <row r="40" spans="1:17" s="8" customFormat="1" x14ac:dyDescent="0.25">
      <c r="A40" s="28" t="s">
        <v>50</v>
      </c>
      <c r="B40" s="5">
        <f t="shared" si="4"/>
        <v>3205.69</v>
      </c>
      <c r="C40" s="5"/>
      <c r="D40" s="6">
        <v>464.31</v>
      </c>
      <c r="E40" s="6">
        <v>745.03</v>
      </c>
      <c r="F40" s="6">
        <v>781.97</v>
      </c>
      <c r="G40" s="6">
        <v>301.86</v>
      </c>
      <c r="H40" s="6">
        <v>912.52</v>
      </c>
      <c r="I40" s="6"/>
      <c r="J40" s="6"/>
      <c r="K40" s="6"/>
      <c r="L40" s="6"/>
      <c r="M40" s="6"/>
      <c r="N40" s="6"/>
      <c r="O40" s="6"/>
      <c r="P40" s="7"/>
      <c r="Q40" s="7"/>
    </row>
    <row r="41" spans="1:17" s="8" customFormat="1" x14ac:dyDescent="0.25">
      <c r="A41" s="29" t="s">
        <v>51</v>
      </c>
      <c r="B41" s="5">
        <f t="shared" si="4"/>
        <v>0</v>
      </c>
      <c r="C41" s="5"/>
      <c r="D41" s="6" t="s">
        <v>19</v>
      </c>
      <c r="E41" s="6" t="s">
        <v>19</v>
      </c>
      <c r="F41" s="6" t="s">
        <v>19</v>
      </c>
      <c r="G41" s="6" t="s">
        <v>19</v>
      </c>
      <c r="H41" s="6" t="s">
        <v>19</v>
      </c>
      <c r="I41" s="6" t="s">
        <v>19</v>
      </c>
      <c r="J41" s="6" t="s">
        <v>19</v>
      </c>
      <c r="K41" s="6"/>
      <c r="L41" s="6"/>
      <c r="M41" s="6"/>
      <c r="N41" s="6"/>
      <c r="O41" s="6"/>
      <c r="P41" s="7"/>
      <c r="Q41" s="7"/>
    </row>
    <row r="42" spans="1:17" s="8" customFormat="1" x14ac:dyDescent="0.25">
      <c r="A42" s="30" t="s">
        <v>52</v>
      </c>
      <c r="B42" s="5">
        <f t="shared" si="4"/>
        <v>459.37</v>
      </c>
      <c r="C42" s="5"/>
      <c r="D42" s="6">
        <v>103.13</v>
      </c>
      <c r="E42" s="6">
        <v>293.24</v>
      </c>
      <c r="F42" s="6">
        <v>63</v>
      </c>
      <c r="G42" s="6" t="s">
        <v>19</v>
      </c>
      <c r="H42" s="6" t="s">
        <v>19</v>
      </c>
      <c r="I42" s="6"/>
      <c r="J42" s="6"/>
      <c r="K42" s="6"/>
      <c r="L42" s="6"/>
      <c r="M42" s="6"/>
      <c r="N42" s="6"/>
      <c r="O42" s="6"/>
      <c r="P42" s="7"/>
      <c r="Q42" s="7"/>
    </row>
    <row r="43" spans="1:17" x14ac:dyDescent="0.25">
      <c r="A43" s="4"/>
      <c r="B43" s="10">
        <f>SUM(D43:O43)</f>
        <v>293964.23</v>
      </c>
      <c r="C43" s="10"/>
      <c r="D43" s="1">
        <f t="shared" ref="D43:O43" si="5">SUM(D28:D42)</f>
        <v>53069.909999999982</v>
      </c>
      <c r="E43" s="1">
        <f t="shared" si="5"/>
        <v>53404.929999999993</v>
      </c>
      <c r="F43" s="1">
        <f t="shared" si="5"/>
        <v>71697.400000000009</v>
      </c>
      <c r="G43" s="1">
        <f t="shared" si="5"/>
        <v>60885.739999999991</v>
      </c>
      <c r="H43" s="1">
        <f t="shared" si="5"/>
        <v>54906.25</v>
      </c>
      <c r="I43" s="1">
        <f t="shared" si="5"/>
        <v>0</v>
      </c>
      <c r="J43" s="1">
        <f t="shared" si="5"/>
        <v>0</v>
      </c>
      <c r="K43" s="1">
        <f t="shared" si="5"/>
        <v>0</v>
      </c>
      <c r="L43" s="1">
        <f t="shared" si="5"/>
        <v>0</v>
      </c>
      <c r="M43" s="1">
        <f t="shared" si="5"/>
        <v>0</v>
      </c>
      <c r="N43" s="1">
        <f t="shared" si="5"/>
        <v>0</v>
      </c>
      <c r="O43" s="1">
        <f t="shared" si="5"/>
        <v>0</v>
      </c>
    </row>
    <row r="44" spans="1:17" x14ac:dyDescent="0.25">
      <c r="A44" s="4"/>
      <c r="B44" s="10"/>
      <c r="C44" s="10"/>
      <c r="D44" s="1"/>
      <c r="E44" s="1"/>
      <c r="F44" s="31"/>
      <c r="G44" s="31"/>
      <c r="H44" s="31"/>
      <c r="I44" s="31"/>
      <c r="J44" s="31"/>
      <c r="K44" s="31"/>
      <c r="L44" s="31"/>
      <c r="M44" s="31"/>
      <c r="N44" s="31"/>
      <c r="O44" s="31"/>
    </row>
    <row r="45" spans="1:17" x14ac:dyDescent="0.25">
      <c r="A45" s="4"/>
      <c r="B45" s="18" t="s">
        <v>1</v>
      </c>
      <c r="C45" s="18"/>
      <c r="D45" s="1" t="s">
        <v>2</v>
      </c>
      <c r="E45" s="1" t="s">
        <v>3</v>
      </c>
      <c r="F45" s="1" t="s">
        <v>4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  <c r="M45" s="1" t="s">
        <v>11</v>
      </c>
      <c r="N45" s="1" t="s">
        <v>12</v>
      </c>
      <c r="O45" s="1" t="s">
        <v>13</v>
      </c>
      <c r="P45" s="14"/>
      <c r="Q45" s="14"/>
    </row>
    <row r="46" spans="1:17" x14ac:dyDescent="0.25">
      <c r="A46" s="9" t="s">
        <v>53</v>
      </c>
      <c r="B46" s="32">
        <f t="shared" ref="B46:B47" si="6">SUM(D46:O46)</f>
        <v>29260</v>
      </c>
      <c r="C46" s="32"/>
      <c r="D46" s="31">
        <v>5491</v>
      </c>
      <c r="E46" s="31">
        <v>5993</v>
      </c>
      <c r="F46" s="31">
        <v>6908</v>
      </c>
      <c r="G46" s="31">
        <v>5862</v>
      </c>
      <c r="H46" s="31">
        <v>5006</v>
      </c>
      <c r="I46" s="31"/>
      <c r="J46" s="31"/>
      <c r="K46" s="31"/>
      <c r="L46" s="31"/>
      <c r="M46" s="31"/>
      <c r="N46" s="31"/>
      <c r="O46" s="31"/>
    </row>
    <row r="47" spans="1:17" x14ac:dyDescent="0.25">
      <c r="A47" s="9" t="s">
        <v>54</v>
      </c>
      <c r="B47" s="32">
        <f t="shared" si="6"/>
        <v>118</v>
      </c>
      <c r="C47" s="32"/>
      <c r="D47" s="31">
        <v>23</v>
      </c>
      <c r="E47" s="31">
        <v>23</v>
      </c>
      <c r="F47" s="31">
        <v>25</v>
      </c>
      <c r="G47" s="31">
        <v>23</v>
      </c>
      <c r="H47" s="31">
        <v>24</v>
      </c>
      <c r="I47" s="31"/>
      <c r="J47" s="31"/>
      <c r="K47" s="31"/>
      <c r="L47" s="31"/>
      <c r="M47" s="31"/>
      <c r="N47" s="31"/>
      <c r="O47" s="31"/>
    </row>
    <row r="48" spans="1:17" x14ac:dyDescent="0.25">
      <c r="A48" s="9" t="s">
        <v>55</v>
      </c>
      <c r="B48" s="18"/>
      <c r="C48" s="18"/>
      <c r="D48" s="31">
        <f>D46/D47</f>
        <v>238.7391304347826</v>
      </c>
      <c r="E48" s="31">
        <f>E46/E47</f>
        <v>260.56521739130437</v>
      </c>
      <c r="F48" s="31">
        <f>F46/F47</f>
        <v>276.32</v>
      </c>
      <c r="G48" s="31">
        <f>G46/G47</f>
        <v>254.86956521739131</v>
      </c>
      <c r="H48" s="31">
        <f>H46/H47</f>
        <v>208.58333333333334</v>
      </c>
      <c r="I48" s="31" t="e">
        <f t="shared" ref="I48:O48" si="7">I46/I47</f>
        <v>#DIV/0!</v>
      </c>
      <c r="J48" s="31" t="e">
        <f t="shared" si="7"/>
        <v>#DIV/0!</v>
      </c>
      <c r="K48" s="31" t="e">
        <f t="shared" si="7"/>
        <v>#DIV/0!</v>
      </c>
      <c r="L48" s="31" t="e">
        <f t="shared" si="7"/>
        <v>#DIV/0!</v>
      </c>
      <c r="M48" s="31" t="e">
        <f t="shared" si="7"/>
        <v>#DIV/0!</v>
      </c>
      <c r="N48" s="31" t="e">
        <f t="shared" si="7"/>
        <v>#DIV/0!</v>
      </c>
      <c r="O48" s="31" t="e">
        <f t="shared" si="7"/>
        <v>#DIV/0!</v>
      </c>
    </row>
  </sheetData>
  <pageMargins left="0.70866141732283472" right="0.70866141732283472" top="0.74803149606299213" bottom="0.74803149606299213" header="0.31496062992125984" footer="0.31496062992125984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PER TONS</vt:lpstr>
      <vt:lpstr>2026</vt:lpstr>
      <vt:lpstr>' PER TONS'!Print_Area</vt:lpstr>
      <vt:lpstr>'2026'!Print_Area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</dc:creator>
  <cp:lastModifiedBy>Accounting</cp:lastModifiedBy>
  <dcterms:created xsi:type="dcterms:W3CDTF">2026-06-15T10:35:59Z</dcterms:created>
  <dcterms:modified xsi:type="dcterms:W3CDTF">2026-06-16T03:16:37Z</dcterms:modified>
</cp:coreProperties>
</file>